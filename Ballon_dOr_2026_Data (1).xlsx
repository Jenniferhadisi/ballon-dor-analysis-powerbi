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ECE7C41E-825C-47F3-AE36-BD7FD6D00D6B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LAYERS" sheetId="1" r:id="rId1"/>
    <sheet name="TROPHIES" sheetId="4" r:id="rId2"/>
    <sheet name="DISCIPLINE" sheetId="5" r:id="rId3"/>
    <sheet name="SOURCES" sheetId="6" r:id="rId4"/>
    <sheet name="RANKING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7" l="1"/>
  <c r="I3" i="7"/>
  <c r="I11" i="7"/>
  <c r="I12" i="7"/>
  <c r="I17" i="7"/>
  <c r="I20" i="7"/>
  <c r="I16" i="7"/>
  <c r="I19" i="7"/>
  <c r="I8" i="7"/>
  <c r="I2" i="7"/>
  <c r="I18" i="7"/>
  <c r="I21" i="7"/>
  <c r="I7" i="7"/>
  <c r="I15" i="7"/>
  <c r="I5" i="7"/>
  <c r="I9" i="7"/>
  <c r="I4" i="7"/>
  <c r="I13" i="7"/>
  <c r="I14" i="7"/>
  <c r="I6" i="7"/>
  <c r="J6" i="7" s="1"/>
  <c r="J14" i="7" l="1"/>
  <c r="J13" i="7"/>
  <c r="J4" i="7"/>
  <c r="J9" i="7"/>
  <c r="J5" i="7"/>
  <c r="J15" i="7"/>
  <c r="J7" i="7"/>
  <c r="J21" i="7"/>
  <c r="J18" i="7"/>
  <c r="J2" i="7"/>
  <c r="J8" i="7"/>
  <c r="J19" i="7"/>
  <c r="J16" i="7"/>
  <c r="J20" i="7"/>
  <c r="J17" i="7"/>
  <c r="J12" i="7"/>
  <c r="J11" i="7"/>
  <c r="J3" i="7"/>
  <c r="J10" i="7"/>
</calcChain>
</file>

<file path=xl/sharedStrings.xml><?xml version="1.0" encoding="utf-8"?>
<sst xmlns="http://schemas.openxmlformats.org/spreadsheetml/2006/main" count="171" uniqueCount="77">
  <si>
    <t>PLAYER</t>
  </si>
  <si>
    <t>CLUB</t>
  </si>
  <si>
    <t>LEAGUE</t>
  </si>
  <si>
    <t>NATIONAL TEAM</t>
  </si>
  <si>
    <t>MINUTES</t>
  </si>
  <si>
    <t>MATCHES</t>
  </si>
  <si>
    <t>GOALS</t>
  </si>
  <si>
    <t>ASSISTS</t>
  </si>
  <si>
    <t>AVERAGE RATING</t>
  </si>
  <si>
    <t>LAMINE YAMAL</t>
  </si>
  <si>
    <t>BARCELONA</t>
  </si>
  <si>
    <t>La liga</t>
  </si>
  <si>
    <t>Spain</t>
  </si>
  <si>
    <t>OUSMANE DEMBELE</t>
  </si>
  <si>
    <t>PSG</t>
  </si>
  <si>
    <t>Ligue 1</t>
  </si>
  <si>
    <t>France</t>
  </si>
  <si>
    <t>KYLIAN MBAPPE</t>
  </si>
  <si>
    <t>REAL MADRID</t>
  </si>
  <si>
    <t>MOHAMED SALAH</t>
  </si>
  <si>
    <t>LIVERPOOL</t>
  </si>
  <si>
    <t>Premier League</t>
  </si>
  <si>
    <t>Egypt</t>
  </si>
  <si>
    <t>RAPHINHA</t>
  </si>
  <si>
    <t>Brazil</t>
  </si>
  <si>
    <t>PEDRI</t>
  </si>
  <si>
    <t>VITINHA</t>
  </si>
  <si>
    <t>Portugal</t>
  </si>
  <si>
    <t>ACHRAF HAKIMI</t>
  </si>
  <si>
    <t>Morocco</t>
  </si>
  <si>
    <t>JUDE BELLINGHAM</t>
  </si>
  <si>
    <t>England</t>
  </si>
  <si>
    <t>VINICIUS JUNIOR</t>
  </si>
  <si>
    <t>HARRY KANE</t>
  </si>
  <si>
    <t>BAYERN MUNICH</t>
  </si>
  <si>
    <t>Bundesliga</t>
  </si>
  <si>
    <t>FLORIAN WIRTZ</t>
  </si>
  <si>
    <t>Germany</t>
  </si>
  <si>
    <t>COLE PALMER</t>
  </si>
  <si>
    <t>CHELSEA</t>
  </si>
  <si>
    <t>ERLING HAALAND</t>
  </si>
  <si>
    <t>MANCHESTER CITY</t>
  </si>
  <si>
    <t>Norway</t>
  </si>
  <si>
    <t>ROBERT LEWANDOWSKI</t>
  </si>
  <si>
    <t>Poland</t>
  </si>
  <si>
    <t>LIONEL MESSI</t>
  </si>
  <si>
    <t>INTER MIAMI</t>
  </si>
  <si>
    <t>Major League Soccer</t>
  </si>
  <si>
    <t>Argentina</t>
  </si>
  <si>
    <t>BUKAYO SAKA</t>
  </si>
  <si>
    <t>ARSENAL FC</t>
  </si>
  <si>
    <t>MICHAEL OLISE</t>
  </si>
  <si>
    <t>DESIRE DOUE</t>
  </si>
  <si>
    <t>LAUTARO MARTINEZ</t>
  </si>
  <si>
    <t>INTER MILAN</t>
  </si>
  <si>
    <t>Serie A</t>
  </si>
  <si>
    <t>Player</t>
  </si>
  <si>
    <t>Collectif</t>
  </si>
  <si>
    <t>Individual</t>
  </si>
  <si>
    <t>RAPHINA</t>
  </si>
  <si>
    <t>Yellow cards</t>
  </si>
  <si>
    <t>Red cards</t>
  </si>
  <si>
    <t xml:space="preserve">SOURCE </t>
  </si>
  <si>
    <t>WEBSITE</t>
  </si>
  <si>
    <t>Whoscored</t>
  </si>
  <si>
    <t>Whoscored.com</t>
  </si>
  <si>
    <t>statmuse</t>
  </si>
  <si>
    <t>Statmuse.com</t>
  </si>
  <si>
    <t>GOALS/100</t>
  </si>
  <si>
    <t>ASSISTS/50</t>
  </si>
  <si>
    <t>AVERAGE RATING/10</t>
  </si>
  <si>
    <t>Collectif/10</t>
  </si>
  <si>
    <t>Individual/10</t>
  </si>
  <si>
    <t>Yellow cards/20</t>
  </si>
  <si>
    <t>Red cards/20</t>
  </si>
  <si>
    <t>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</si>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</sst>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I1" sqref="I1:I21"/>
    </sheetView>
  </sheetViews>
  <sheetFormatPr defaultRowHeight="15"/>
  <cols>
    <col min="1" max="1" width="22.140625" bestFit="1" customWidth="1"/>
    <col min="2" max="2" width="17.28515625" bestFit="1" customWidth="1"/>
    <col min="3" max="3" width="19" bestFit="1" customWidth="1"/>
    <col min="4" max="4" width="15.7109375" bestFit="1" customWidth="1"/>
    <col min="6" max="6" width="9.42578125" bestFit="1" customWidth="1"/>
    <col min="9" max="9" width="16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3921</v>
      </c>
      <c r="F2">
        <v>57</v>
      </c>
      <c r="G2">
        <v>25</v>
      </c>
      <c r="H2">
        <v>18</v>
      </c>
      <c r="I2">
        <v>8.09</v>
      </c>
    </row>
    <row r="3" spans="1:9">
      <c r="A3" t="s">
        <v>13</v>
      </c>
      <c r="B3" t="s">
        <v>14</v>
      </c>
      <c r="C3" t="s">
        <v>15</v>
      </c>
      <c r="D3" t="s">
        <v>16</v>
      </c>
      <c r="E3">
        <v>1664</v>
      </c>
      <c r="F3">
        <v>30</v>
      </c>
      <c r="G3">
        <v>17</v>
      </c>
      <c r="H3">
        <v>5</v>
      </c>
      <c r="I3">
        <v>7.17</v>
      </c>
    </row>
    <row r="4" spans="1:9">
      <c r="A4" t="s">
        <v>17</v>
      </c>
      <c r="B4" t="s">
        <v>18</v>
      </c>
      <c r="C4" t="s">
        <v>11</v>
      </c>
      <c r="D4" t="s">
        <v>16</v>
      </c>
      <c r="E4">
        <v>4705</v>
      </c>
      <c r="F4">
        <v>63</v>
      </c>
      <c r="G4">
        <v>59</v>
      </c>
      <c r="H4">
        <v>13</v>
      </c>
      <c r="I4">
        <v>7.85</v>
      </c>
    </row>
    <row r="5" spans="1:9">
      <c r="A5" t="s">
        <v>19</v>
      </c>
      <c r="B5" t="s">
        <v>20</v>
      </c>
      <c r="C5" t="s">
        <v>21</v>
      </c>
      <c r="D5" t="s">
        <v>22</v>
      </c>
      <c r="E5">
        <v>1717</v>
      </c>
      <c r="F5">
        <v>34</v>
      </c>
      <c r="G5">
        <v>19</v>
      </c>
      <c r="H5">
        <v>5</v>
      </c>
      <c r="I5">
        <v>7.29</v>
      </c>
    </row>
    <row r="6" spans="1:9">
      <c r="A6" t="s">
        <v>23</v>
      </c>
      <c r="B6" t="s">
        <v>10</v>
      </c>
      <c r="C6" t="s">
        <v>11</v>
      </c>
      <c r="D6" t="s">
        <v>24</v>
      </c>
      <c r="E6">
        <v>2325</v>
      </c>
      <c r="F6">
        <v>35</v>
      </c>
      <c r="G6">
        <v>17</v>
      </c>
      <c r="H6">
        <v>5</v>
      </c>
      <c r="I6">
        <v>7.3</v>
      </c>
    </row>
    <row r="7" spans="1:9">
      <c r="A7" t="s">
        <v>25</v>
      </c>
      <c r="B7" t="s">
        <v>10</v>
      </c>
      <c r="C7" t="s">
        <v>11</v>
      </c>
      <c r="D7" t="s">
        <v>12</v>
      </c>
      <c r="E7">
        <v>3607</v>
      </c>
      <c r="F7">
        <v>58</v>
      </c>
      <c r="G7">
        <v>5</v>
      </c>
      <c r="H7">
        <v>11</v>
      </c>
      <c r="I7">
        <v>7.17</v>
      </c>
    </row>
    <row r="8" spans="1:9">
      <c r="A8" t="s">
        <v>26</v>
      </c>
      <c r="B8" t="s">
        <v>14</v>
      </c>
      <c r="C8" t="s">
        <v>15</v>
      </c>
      <c r="D8" t="s">
        <v>27</v>
      </c>
      <c r="E8">
        <v>3042</v>
      </c>
      <c r="F8">
        <v>39</v>
      </c>
      <c r="G8">
        <v>7</v>
      </c>
      <c r="H8">
        <v>2</v>
      </c>
      <c r="I8">
        <v>7.1</v>
      </c>
    </row>
    <row r="9" spans="1:9">
      <c r="A9" t="s">
        <v>28</v>
      </c>
      <c r="B9" t="s">
        <v>14</v>
      </c>
      <c r="C9" t="s">
        <v>15</v>
      </c>
      <c r="D9" t="s">
        <v>29</v>
      </c>
      <c r="E9">
        <v>2774</v>
      </c>
      <c r="F9">
        <v>41</v>
      </c>
      <c r="G9">
        <v>6</v>
      </c>
      <c r="H9">
        <v>11</v>
      </c>
      <c r="I9">
        <v>7.24</v>
      </c>
    </row>
    <row r="10" spans="1:9">
      <c r="A10" t="s">
        <v>30</v>
      </c>
      <c r="B10" t="s">
        <v>18</v>
      </c>
      <c r="C10" t="s">
        <v>11</v>
      </c>
      <c r="D10" t="s">
        <v>31</v>
      </c>
      <c r="E10">
        <v>3944</v>
      </c>
      <c r="F10">
        <v>61</v>
      </c>
      <c r="G10">
        <v>16</v>
      </c>
      <c r="H10">
        <v>8</v>
      </c>
      <c r="I10">
        <v>7.28</v>
      </c>
    </row>
    <row r="11" spans="1:9">
      <c r="A11" t="s">
        <v>32</v>
      </c>
      <c r="B11" t="s">
        <v>18</v>
      </c>
      <c r="C11" t="s">
        <v>11</v>
      </c>
      <c r="D11" t="s">
        <v>24</v>
      </c>
      <c r="E11">
        <v>5145</v>
      </c>
      <c r="F11">
        <v>82</v>
      </c>
      <c r="G11">
        <v>32</v>
      </c>
      <c r="H11">
        <v>12</v>
      </c>
      <c r="I11">
        <v>7.33</v>
      </c>
    </row>
    <row r="12" spans="1:9">
      <c r="A12" t="s">
        <v>33</v>
      </c>
      <c r="B12" t="s">
        <v>34</v>
      </c>
      <c r="C12" t="s">
        <v>35</v>
      </c>
      <c r="D12" t="s">
        <v>31</v>
      </c>
      <c r="E12">
        <v>5135</v>
      </c>
      <c r="F12">
        <v>66</v>
      </c>
      <c r="G12">
        <v>68</v>
      </c>
      <c r="H12">
        <v>9</v>
      </c>
      <c r="I12">
        <v>7.95</v>
      </c>
    </row>
    <row r="13" spans="1:9">
      <c r="A13" t="s">
        <v>36</v>
      </c>
      <c r="B13" t="s">
        <v>20</v>
      </c>
      <c r="C13" t="s">
        <v>21</v>
      </c>
      <c r="D13" t="s">
        <v>37</v>
      </c>
      <c r="E13">
        <v>1730</v>
      </c>
      <c r="F13">
        <v>29</v>
      </c>
      <c r="G13">
        <v>6</v>
      </c>
      <c r="H13">
        <v>8</v>
      </c>
      <c r="I13">
        <v>7.47</v>
      </c>
    </row>
    <row r="14" spans="1:9">
      <c r="A14" t="s">
        <v>38</v>
      </c>
      <c r="B14" t="s">
        <v>39</v>
      </c>
      <c r="C14" t="s">
        <v>21</v>
      </c>
      <c r="D14" t="s">
        <v>31</v>
      </c>
      <c r="E14">
        <v>897</v>
      </c>
      <c r="F14">
        <v>16</v>
      </c>
      <c r="G14">
        <v>4</v>
      </c>
      <c r="H14">
        <v>4</v>
      </c>
      <c r="I14">
        <v>7.26</v>
      </c>
    </row>
    <row r="15" spans="1:9">
      <c r="A15" t="s">
        <v>40</v>
      </c>
      <c r="B15" t="s">
        <v>41</v>
      </c>
      <c r="C15" t="s">
        <v>21</v>
      </c>
      <c r="D15" t="s">
        <v>42</v>
      </c>
      <c r="E15">
        <v>2185</v>
      </c>
      <c r="F15">
        <v>33</v>
      </c>
      <c r="G15">
        <v>37</v>
      </c>
      <c r="H15">
        <v>3</v>
      </c>
      <c r="I15">
        <v>7.8</v>
      </c>
    </row>
    <row r="16" spans="1:9">
      <c r="A16" t="s">
        <v>43</v>
      </c>
      <c r="B16" t="s">
        <v>10</v>
      </c>
      <c r="C16" t="s">
        <v>11</v>
      </c>
      <c r="D16" t="s">
        <v>44</v>
      </c>
      <c r="E16">
        <v>2461</v>
      </c>
      <c r="F16">
        <v>50</v>
      </c>
      <c r="G16">
        <v>20</v>
      </c>
      <c r="H16">
        <v>2</v>
      </c>
      <c r="I16">
        <v>6.78</v>
      </c>
    </row>
    <row r="17" spans="1:9">
      <c r="A17" t="s">
        <v>45</v>
      </c>
      <c r="B17" t="s">
        <v>46</v>
      </c>
      <c r="C17" t="s">
        <v>47</v>
      </c>
      <c r="D17" t="s">
        <v>48</v>
      </c>
      <c r="E17">
        <v>2801</v>
      </c>
      <c r="F17">
        <v>48</v>
      </c>
      <c r="G17">
        <v>33</v>
      </c>
      <c r="H17">
        <v>12</v>
      </c>
      <c r="I17">
        <v>8.26</v>
      </c>
    </row>
    <row r="18" spans="1:9">
      <c r="A18" t="s">
        <v>49</v>
      </c>
      <c r="B18" t="s">
        <v>50</v>
      </c>
      <c r="C18" t="s">
        <v>21</v>
      </c>
      <c r="D18" t="s">
        <v>31</v>
      </c>
      <c r="E18">
        <v>3788</v>
      </c>
      <c r="F18">
        <v>60</v>
      </c>
      <c r="G18">
        <v>15</v>
      </c>
      <c r="H18">
        <v>12</v>
      </c>
      <c r="I18">
        <v>7.2</v>
      </c>
    </row>
    <row r="19" spans="1:9">
      <c r="A19" t="s">
        <v>51</v>
      </c>
      <c r="B19" t="s">
        <v>34</v>
      </c>
      <c r="C19" t="s">
        <v>35</v>
      </c>
      <c r="D19" t="s">
        <v>16</v>
      </c>
      <c r="E19">
        <v>4842</v>
      </c>
      <c r="F19">
        <v>70</v>
      </c>
      <c r="G19">
        <v>29</v>
      </c>
      <c r="H19">
        <v>34</v>
      </c>
      <c r="I19">
        <v>7.82</v>
      </c>
    </row>
    <row r="20" spans="1:9">
      <c r="A20" t="s">
        <v>52</v>
      </c>
      <c r="B20" t="s">
        <v>14</v>
      </c>
      <c r="C20" t="s">
        <v>15</v>
      </c>
      <c r="D20" t="s">
        <v>16</v>
      </c>
      <c r="E20">
        <v>1870</v>
      </c>
      <c r="F20">
        <v>36</v>
      </c>
      <c r="G20">
        <v>10</v>
      </c>
      <c r="H20">
        <v>5</v>
      </c>
      <c r="I20">
        <v>7.24</v>
      </c>
    </row>
    <row r="21" spans="1:9">
      <c r="A21" t="s">
        <v>53</v>
      </c>
      <c r="B21" t="s">
        <v>54</v>
      </c>
      <c r="C21" t="s">
        <v>55</v>
      </c>
      <c r="D21" t="s">
        <v>48</v>
      </c>
      <c r="E21">
        <v>1336</v>
      </c>
      <c r="F21">
        <v>42</v>
      </c>
      <c r="G21">
        <v>19</v>
      </c>
      <c r="H21">
        <v>1</v>
      </c>
      <c r="I21">
        <v>7.07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FD9C-BBBC-4C88-AEB1-40A4146E715E}">
  <dimension ref="A1:C21"/>
  <sheetViews>
    <sheetView workbookViewId="0">
      <selection activeCell="C1" sqref="C1:C21"/>
    </sheetView>
  </sheetViews>
  <sheetFormatPr defaultRowHeight="15"/>
  <cols>
    <col min="1" max="1" width="21.7109375" customWidth="1"/>
  </cols>
  <sheetData>
    <row r="1" spans="1:3">
      <c r="A1" t="s">
        <v>56</v>
      </c>
      <c r="B1" t="s">
        <v>57</v>
      </c>
      <c r="C1" t="s">
        <v>58</v>
      </c>
    </row>
    <row r="2" spans="1:3">
      <c r="A2" t="s">
        <v>9</v>
      </c>
      <c r="B2">
        <v>3</v>
      </c>
      <c r="C2">
        <v>7</v>
      </c>
    </row>
    <row r="3" spans="1:3">
      <c r="A3" t="s">
        <v>13</v>
      </c>
      <c r="B3">
        <v>4</v>
      </c>
      <c r="C3">
        <v>1</v>
      </c>
    </row>
    <row r="4" spans="1:3">
      <c r="A4" t="s">
        <v>17</v>
      </c>
      <c r="B4">
        <v>0</v>
      </c>
      <c r="C4">
        <v>3</v>
      </c>
    </row>
    <row r="5" spans="1:3">
      <c r="A5" t="s">
        <v>19</v>
      </c>
      <c r="B5">
        <v>0</v>
      </c>
      <c r="C5">
        <v>0</v>
      </c>
    </row>
    <row r="6" spans="1:3">
      <c r="A6" t="s">
        <v>59</v>
      </c>
      <c r="B6">
        <v>2</v>
      </c>
      <c r="C6">
        <v>2</v>
      </c>
    </row>
    <row r="7" spans="1:3">
      <c r="A7" t="s">
        <v>25</v>
      </c>
      <c r="B7">
        <v>3</v>
      </c>
      <c r="C7">
        <v>1</v>
      </c>
    </row>
    <row r="8" spans="1:3">
      <c r="A8" t="s">
        <v>26</v>
      </c>
      <c r="B8">
        <v>4</v>
      </c>
      <c r="C8">
        <v>1</v>
      </c>
    </row>
    <row r="9" spans="1:3">
      <c r="A9" t="s">
        <v>28</v>
      </c>
      <c r="B9">
        <v>4</v>
      </c>
      <c r="C9">
        <v>3</v>
      </c>
    </row>
    <row r="10" spans="1:3">
      <c r="A10" t="s">
        <v>30</v>
      </c>
      <c r="B10">
        <v>0</v>
      </c>
      <c r="C10">
        <v>1</v>
      </c>
    </row>
    <row r="11" spans="1:3">
      <c r="A11" t="s">
        <v>32</v>
      </c>
      <c r="B11">
        <v>3</v>
      </c>
      <c r="C11">
        <v>4</v>
      </c>
    </row>
    <row r="12" spans="1:3">
      <c r="A12" t="s">
        <v>33</v>
      </c>
      <c r="B12">
        <v>3</v>
      </c>
      <c r="C12">
        <v>2</v>
      </c>
    </row>
    <row r="13" spans="1:3">
      <c r="A13" t="s">
        <v>36</v>
      </c>
      <c r="B13">
        <v>0</v>
      </c>
      <c r="C13">
        <v>2</v>
      </c>
    </row>
    <row r="14" spans="1:3">
      <c r="A14" t="s">
        <v>38</v>
      </c>
      <c r="B14">
        <v>0</v>
      </c>
      <c r="C14">
        <v>1</v>
      </c>
    </row>
    <row r="15" spans="1:3">
      <c r="A15" t="s">
        <v>40</v>
      </c>
      <c r="B15">
        <v>2</v>
      </c>
      <c r="C15">
        <v>1</v>
      </c>
    </row>
    <row r="16" spans="1:3">
      <c r="A16" t="s">
        <v>43</v>
      </c>
      <c r="B16">
        <v>2</v>
      </c>
      <c r="C16">
        <v>0</v>
      </c>
    </row>
    <row r="17" spans="1:3">
      <c r="A17" t="s">
        <v>45</v>
      </c>
      <c r="B17">
        <v>1</v>
      </c>
      <c r="C17">
        <v>4</v>
      </c>
    </row>
    <row r="18" spans="1:3">
      <c r="A18" t="s">
        <v>49</v>
      </c>
      <c r="B18">
        <v>1</v>
      </c>
      <c r="C18">
        <v>1</v>
      </c>
    </row>
    <row r="19" spans="1:3">
      <c r="A19" t="s">
        <v>51</v>
      </c>
      <c r="B19">
        <v>3</v>
      </c>
      <c r="C19">
        <v>4</v>
      </c>
    </row>
    <row r="20" spans="1:3">
      <c r="A20" t="s">
        <v>52</v>
      </c>
      <c r="B20">
        <v>5</v>
      </c>
      <c r="C20">
        <v>3</v>
      </c>
    </row>
    <row r="21" spans="1:3">
      <c r="A21" t="s">
        <v>53</v>
      </c>
      <c r="B21">
        <v>2</v>
      </c>
      <c r="C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6560-4302-411C-BDFD-3B2DDD5C33DF}">
  <dimension ref="A1:C21"/>
  <sheetViews>
    <sheetView workbookViewId="0">
      <selection activeCell="C1" sqref="C1:C21"/>
    </sheetView>
  </sheetViews>
  <sheetFormatPr defaultRowHeight="15"/>
  <cols>
    <col min="1" max="1" width="21.28515625" customWidth="1"/>
    <col min="2" max="2" width="11.7109375" bestFit="1" customWidth="1"/>
    <col min="3" max="3" width="9.28515625" bestFit="1" customWidth="1"/>
  </cols>
  <sheetData>
    <row r="1" spans="1:3">
      <c r="A1" t="s">
        <v>56</v>
      </c>
      <c r="B1" t="s">
        <v>60</v>
      </c>
      <c r="C1" t="s">
        <v>61</v>
      </c>
    </row>
    <row r="2" spans="1:3">
      <c r="A2" t="s">
        <v>9</v>
      </c>
      <c r="B2">
        <v>6</v>
      </c>
      <c r="C2">
        <v>0</v>
      </c>
    </row>
    <row r="3" spans="1:3">
      <c r="A3" t="s">
        <v>13</v>
      </c>
      <c r="B3">
        <v>1</v>
      </c>
      <c r="C3">
        <v>0</v>
      </c>
    </row>
    <row r="4" spans="1:3">
      <c r="A4" t="s">
        <v>17</v>
      </c>
      <c r="B4">
        <v>9</v>
      </c>
      <c r="C4">
        <v>0</v>
      </c>
    </row>
    <row r="5" spans="1:3">
      <c r="A5" t="s">
        <v>19</v>
      </c>
      <c r="B5">
        <v>0</v>
      </c>
      <c r="C5">
        <v>0</v>
      </c>
    </row>
    <row r="6" spans="1:3">
      <c r="A6" t="s">
        <v>23</v>
      </c>
      <c r="B6">
        <v>5</v>
      </c>
      <c r="C6">
        <v>0</v>
      </c>
    </row>
    <row r="7" spans="1:3">
      <c r="A7" t="s">
        <v>25</v>
      </c>
      <c r="B7">
        <v>2</v>
      </c>
      <c r="C7">
        <v>1</v>
      </c>
    </row>
    <row r="8" spans="1:3">
      <c r="A8" t="s">
        <v>26</v>
      </c>
      <c r="B8">
        <v>0</v>
      </c>
      <c r="C8">
        <v>0</v>
      </c>
    </row>
    <row r="9" spans="1:3">
      <c r="A9" t="s">
        <v>28</v>
      </c>
      <c r="B9">
        <v>6</v>
      </c>
      <c r="C9">
        <v>0</v>
      </c>
    </row>
    <row r="10" spans="1:3">
      <c r="A10" t="s">
        <v>30</v>
      </c>
      <c r="B10">
        <v>10</v>
      </c>
      <c r="C10">
        <v>0</v>
      </c>
    </row>
    <row r="11" spans="1:3">
      <c r="A11" t="s">
        <v>32</v>
      </c>
      <c r="B11">
        <v>16</v>
      </c>
      <c r="C11">
        <v>0</v>
      </c>
    </row>
    <row r="12" spans="1:3">
      <c r="A12" t="s">
        <v>33</v>
      </c>
      <c r="B12">
        <v>2</v>
      </c>
      <c r="C12">
        <v>0</v>
      </c>
    </row>
    <row r="13" spans="1:3">
      <c r="A13" t="s">
        <v>36</v>
      </c>
      <c r="B13">
        <v>0</v>
      </c>
      <c r="C13">
        <v>0</v>
      </c>
    </row>
    <row r="14" spans="1:3">
      <c r="A14" t="s">
        <v>38</v>
      </c>
      <c r="B14">
        <v>2</v>
      </c>
      <c r="C14">
        <v>0</v>
      </c>
    </row>
    <row r="15" spans="1:3">
      <c r="A15" t="s">
        <v>40</v>
      </c>
      <c r="B15">
        <v>1</v>
      </c>
      <c r="C15">
        <v>0</v>
      </c>
    </row>
    <row r="16" spans="1:3">
      <c r="A16" t="s">
        <v>43</v>
      </c>
      <c r="B16">
        <v>4</v>
      </c>
      <c r="C16">
        <v>0</v>
      </c>
    </row>
    <row r="17" spans="1:3">
      <c r="A17" t="s">
        <v>45</v>
      </c>
      <c r="B17">
        <v>3</v>
      </c>
      <c r="C17">
        <v>0</v>
      </c>
    </row>
    <row r="18" spans="1:3">
      <c r="A18" t="s">
        <v>49</v>
      </c>
      <c r="B18">
        <v>1</v>
      </c>
      <c r="C18">
        <v>0</v>
      </c>
    </row>
    <row r="19" spans="1:3">
      <c r="A19" t="s">
        <v>51</v>
      </c>
      <c r="B19">
        <v>12</v>
      </c>
      <c r="C19">
        <v>0</v>
      </c>
    </row>
    <row r="20" spans="1:3">
      <c r="A20" t="s">
        <v>52</v>
      </c>
      <c r="B20">
        <v>3</v>
      </c>
      <c r="C20">
        <v>0</v>
      </c>
    </row>
    <row r="21" spans="1:3">
      <c r="A21" t="s">
        <v>53</v>
      </c>
      <c r="B21">
        <v>7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7A5A-020B-4F4E-9FA1-EB8CC270D763}">
  <dimension ref="A1:B3"/>
  <sheetViews>
    <sheetView workbookViewId="0">
      <selection activeCell="B3" sqref="B3"/>
    </sheetView>
  </sheetViews>
  <sheetFormatPr defaultRowHeight="15"/>
  <cols>
    <col min="1" max="1" width="10.85546875" bestFit="1" customWidth="1"/>
    <col min="2" max="2" width="15.140625" bestFit="1" customWidth="1"/>
  </cols>
  <sheetData>
    <row r="1" spans="1:2">
      <c r="A1" t="s">
        <v>62</v>
      </c>
      <c r="B1" t="s">
        <v>63</v>
      </c>
    </row>
    <row r="2" spans="1:2">
      <c r="A2" t="s">
        <v>64</v>
      </c>
      <c r="B2" t="s">
        <v>65</v>
      </c>
    </row>
    <row r="3" spans="1:2">
      <c r="A3" t="s">
        <v>66</v>
      </c>
      <c r="B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755-9F5F-40F6-90EE-1493B03197D9}">
  <dimension ref="A1:J21"/>
  <sheetViews>
    <sheetView tabSelected="1" workbookViewId="0">
      <selection activeCell="M17" sqref="M17"/>
    </sheetView>
  </sheetViews>
  <sheetFormatPr defaultRowHeight="15"/>
  <cols>
    <col min="1" max="1" width="22.5703125" customWidth="1"/>
    <col min="2" max="2" width="12" customWidth="1"/>
    <col min="3" max="3" width="12.5703125" customWidth="1"/>
    <col min="4" max="4" width="20.7109375" customWidth="1"/>
    <col min="5" max="5" width="13.5703125" customWidth="1"/>
    <col min="6" max="6" width="14.42578125" customWidth="1"/>
    <col min="7" max="7" width="14.85546875" customWidth="1"/>
    <col min="8" max="8" width="15.42578125" customWidth="1"/>
    <col min="9" max="9" width="12.7109375" customWidth="1"/>
  </cols>
  <sheetData>
    <row r="1" spans="1:10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>
      <c r="A2" t="s">
        <v>33</v>
      </c>
      <c r="B2">
        <v>68</v>
      </c>
      <c r="C2">
        <v>9</v>
      </c>
      <c r="D2">
        <v>7.95</v>
      </c>
      <c r="E2">
        <v>3</v>
      </c>
      <c r="F2">
        <v>2</v>
      </c>
      <c r="G2">
        <v>2</v>
      </c>
      <c r="H2">
        <v>0</v>
      </c>
      <c r="I2">
        <f>SUM((B2)+(C2)+(D2)+(E2)+(F2)-(G2-20)-(H2-20))/220*100</f>
        <v>58.159090909090914</v>
      </c>
      <c r="J2">
        <f>_xlfn.RANK.EQ(I2,$I$2:$I$21,0)</f>
        <v>1</v>
      </c>
    </row>
    <row r="3" spans="1:10">
      <c r="A3" t="s">
        <v>17</v>
      </c>
      <c r="B3">
        <v>59</v>
      </c>
      <c r="C3">
        <v>13</v>
      </c>
      <c r="D3">
        <v>7.85</v>
      </c>
      <c r="E3">
        <v>0</v>
      </c>
      <c r="F3">
        <v>3</v>
      </c>
      <c r="G3">
        <v>9</v>
      </c>
      <c r="H3">
        <v>0</v>
      </c>
      <c r="I3">
        <f>SUM((B3)+(C3)+(D3)+(E3)+(F3)-(G3-20)-(H3-20))/220*100</f>
        <v>51.749999999999993</v>
      </c>
      <c r="J3">
        <f>_xlfn.RANK.EQ(I3,$I$2:$I$21,0)</f>
        <v>2</v>
      </c>
    </row>
    <row r="4" spans="1:10">
      <c r="A4" t="s">
        <v>51</v>
      </c>
      <c r="B4">
        <v>29</v>
      </c>
      <c r="C4">
        <v>34</v>
      </c>
      <c r="D4">
        <v>7.82</v>
      </c>
      <c r="E4">
        <v>3</v>
      </c>
      <c r="F4">
        <v>4</v>
      </c>
      <c r="G4">
        <v>12</v>
      </c>
      <c r="H4">
        <v>0</v>
      </c>
      <c r="I4">
        <f>SUM((B4)+(C4)+(D4)+(E4)+(F4)-(G4-20)-(H4-20))/220*100</f>
        <v>48.1</v>
      </c>
      <c r="J4">
        <f>_xlfn.RANK.EQ(I4,$I$2:$I$21,0)</f>
        <v>3</v>
      </c>
    </row>
    <row r="5" spans="1:10">
      <c r="A5" t="s">
        <v>45</v>
      </c>
      <c r="B5">
        <v>33</v>
      </c>
      <c r="C5">
        <v>12</v>
      </c>
      <c r="D5">
        <v>8.26</v>
      </c>
      <c r="E5">
        <v>1</v>
      </c>
      <c r="F5">
        <v>4</v>
      </c>
      <c r="G5">
        <v>3</v>
      </c>
      <c r="H5">
        <v>0</v>
      </c>
      <c r="I5">
        <f>SUM((B5)+(C5)+(D5)+(E5)+(F5)-(G5-20)-(H5-20))/220*100</f>
        <v>43.3</v>
      </c>
      <c r="J5">
        <f>_xlfn.RANK.EQ(I5,$I$2:$I$21,0)</f>
        <v>4</v>
      </c>
    </row>
    <row r="6" spans="1:10">
      <c r="A6" t="s">
        <v>9</v>
      </c>
      <c r="B6">
        <v>25</v>
      </c>
      <c r="C6">
        <v>18</v>
      </c>
      <c r="D6">
        <v>8.09</v>
      </c>
      <c r="E6">
        <v>3</v>
      </c>
      <c r="F6">
        <v>7</v>
      </c>
      <c r="G6">
        <v>6</v>
      </c>
      <c r="H6">
        <v>0</v>
      </c>
      <c r="I6">
        <f>SUM((B6)+(C6)+(D6)+(E6)+(F6)-(G6-20)-(H6-20))/220*100</f>
        <v>43.222727272727276</v>
      </c>
      <c r="J6">
        <f>_xlfn.RANK.EQ(I6,$I$2:$I$21,0)</f>
        <v>5</v>
      </c>
    </row>
    <row r="7" spans="1:10">
      <c r="A7" t="s">
        <v>40</v>
      </c>
      <c r="B7">
        <v>37</v>
      </c>
      <c r="C7">
        <v>3</v>
      </c>
      <c r="D7">
        <v>7.8</v>
      </c>
      <c r="E7">
        <v>2</v>
      </c>
      <c r="F7">
        <v>1</v>
      </c>
      <c r="G7">
        <v>1</v>
      </c>
      <c r="H7">
        <v>0</v>
      </c>
      <c r="I7">
        <f>SUM((B7)+(C7)+(D7)+(E7)+(F7)-(G7-20)-(H7-20))/220*100</f>
        <v>40.818181818181813</v>
      </c>
      <c r="J7">
        <f>_xlfn.RANK.EQ(I7,$I$2:$I$21,0)</f>
        <v>6</v>
      </c>
    </row>
    <row r="8" spans="1:10">
      <c r="A8" t="s">
        <v>32</v>
      </c>
      <c r="B8">
        <v>32</v>
      </c>
      <c r="C8">
        <v>12</v>
      </c>
      <c r="D8">
        <v>7.33</v>
      </c>
      <c r="E8">
        <v>3</v>
      </c>
      <c r="F8">
        <v>4</v>
      </c>
      <c r="G8">
        <v>16</v>
      </c>
      <c r="H8">
        <v>0</v>
      </c>
      <c r="I8">
        <f>SUM((B8)+(C8)+(D8)+(E8)+(F8)-(G8-20)-(H8-20))/220*100</f>
        <v>37.422727272727272</v>
      </c>
      <c r="J8">
        <f>_xlfn.RANK.EQ(I8,$I$2:$I$21,0)</f>
        <v>7</v>
      </c>
    </row>
    <row r="9" spans="1:10">
      <c r="A9" t="s">
        <v>49</v>
      </c>
      <c r="B9">
        <v>15</v>
      </c>
      <c r="C9">
        <v>12</v>
      </c>
      <c r="D9">
        <v>7.2</v>
      </c>
      <c r="E9">
        <v>1</v>
      </c>
      <c r="F9">
        <v>1</v>
      </c>
      <c r="G9">
        <v>1</v>
      </c>
      <c r="H9">
        <v>0</v>
      </c>
      <c r="I9">
        <f>SUM((B9)+(C9)+(D9)+(E9)+(F9)-(G9-20)-(H9-20))/220*100</f>
        <v>34.181818181818187</v>
      </c>
      <c r="J9">
        <f>_xlfn.RANK.EQ(I9,$I$2:$I$21,0)</f>
        <v>8</v>
      </c>
    </row>
    <row r="10" spans="1:10">
      <c r="A10" t="s">
        <v>13</v>
      </c>
      <c r="B10">
        <v>17</v>
      </c>
      <c r="C10">
        <v>5</v>
      </c>
      <c r="D10">
        <v>7.17</v>
      </c>
      <c r="E10">
        <v>4</v>
      </c>
      <c r="F10">
        <v>1</v>
      </c>
      <c r="G10">
        <v>1</v>
      </c>
      <c r="H10">
        <v>0</v>
      </c>
      <c r="I10">
        <f>SUM((B10)+(C10)+(D10)+(E10)+(F10)-(G10-20)-(H10-20))/220*100</f>
        <v>33.259090909090908</v>
      </c>
      <c r="J10">
        <f>_xlfn.RANK.EQ(I10,$I$2:$I$21,0)</f>
        <v>9</v>
      </c>
    </row>
    <row r="11" spans="1:10">
      <c r="A11" t="s">
        <v>19</v>
      </c>
      <c r="B11">
        <v>19</v>
      </c>
      <c r="C11">
        <v>5</v>
      </c>
      <c r="D11">
        <v>7.29</v>
      </c>
      <c r="E11">
        <v>0</v>
      </c>
      <c r="F11">
        <v>0</v>
      </c>
      <c r="G11">
        <v>0</v>
      </c>
      <c r="H11">
        <v>0</v>
      </c>
      <c r="I11">
        <f>SUM((B11)+(C11)+(D11)+(E11)+(F11)-(G11-20)-(H11-20))/220*100</f>
        <v>32.404545454545456</v>
      </c>
      <c r="J11">
        <f>_xlfn.RANK.EQ(I11,$I$2:$I$21,0)</f>
        <v>10</v>
      </c>
    </row>
    <row r="12" spans="1:10">
      <c r="A12" t="s">
        <v>23</v>
      </c>
      <c r="B12">
        <v>17</v>
      </c>
      <c r="C12">
        <v>5</v>
      </c>
      <c r="D12">
        <v>7.3</v>
      </c>
      <c r="E12">
        <v>2</v>
      </c>
      <c r="F12">
        <v>2</v>
      </c>
      <c r="G12">
        <v>5</v>
      </c>
      <c r="H12">
        <v>0</v>
      </c>
      <c r="I12">
        <f>SUM((B12)+(C12)+(D12)+(E12)+(F12)-(G12-20)-(H12-20))/220*100</f>
        <v>31.045454545454543</v>
      </c>
      <c r="J12">
        <f>_xlfn.RANK.EQ(I12,$I$2:$I$21,0)</f>
        <v>11</v>
      </c>
    </row>
    <row r="13" spans="1:10">
      <c r="A13" t="s">
        <v>52</v>
      </c>
      <c r="B13">
        <v>10</v>
      </c>
      <c r="C13">
        <v>5</v>
      </c>
      <c r="D13">
        <v>7.24</v>
      </c>
      <c r="E13">
        <v>5</v>
      </c>
      <c r="F13">
        <v>3</v>
      </c>
      <c r="G13">
        <v>3</v>
      </c>
      <c r="H13">
        <v>0</v>
      </c>
      <c r="I13">
        <f>SUM((B13)+(C13)+(D13)+(E13)+(F13)-(G13-20)-(H13-20))/220*100</f>
        <v>30.563636363636366</v>
      </c>
      <c r="J13">
        <f>_xlfn.RANK.EQ(I13,$I$2:$I$21,0)</f>
        <v>12</v>
      </c>
    </row>
    <row r="14" spans="1:10">
      <c r="A14" t="s">
        <v>53</v>
      </c>
      <c r="B14">
        <v>19</v>
      </c>
      <c r="C14">
        <v>1</v>
      </c>
      <c r="D14">
        <v>7.07</v>
      </c>
      <c r="E14">
        <v>2</v>
      </c>
      <c r="F14">
        <v>5</v>
      </c>
      <c r="G14">
        <v>7</v>
      </c>
      <c r="H14">
        <v>0</v>
      </c>
      <c r="I14">
        <f>SUM((B14)+(C14)+(D14)+(E14)+(F14)-(G14-20)-(H14-20))/220*100</f>
        <v>30.486363636363635</v>
      </c>
      <c r="J14">
        <f>_xlfn.RANK.EQ(I14,$I$2:$I$21,0)</f>
        <v>13</v>
      </c>
    </row>
    <row r="15" spans="1:10">
      <c r="A15" t="s">
        <v>43</v>
      </c>
      <c r="B15">
        <v>20</v>
      </c>
      <c r="C15">
        <v>2</v>
      </c>
      <c r="D15">
        <v>6.78</v>
      </c>
      <c r="E15">
        <v>2</v>
      </c>
      <c r="F15">
        <v>0</v>
      </c>
      <c r="G15">
        <v>4</v>
      </c>
      <c r="H15">
        <v>0</v>
      </c>
      <c r="I15">
        <f>SUM((B15)+(C15)+(D15)+(E15)+(F15)-(G15-20)-(H15-20))/220*100</f>
        <v>30.354545454545455</v>
      </c>
      <c r="J15">
        <f>_xlfn.RANK.EQ(I15,$I$2:$I$21,0)</f>
        <v>14</v>
      </c>
    </row>
    <row r="16" spans="1:10">
      <c r="A16" t="s">
        <v>28</v>
      </c>
      <c r="B16">
        <v>6</v>
      </c>
      <c r="C16">
        <v>11</v>
      </c>
      <c r="D16">
        <v>7.24</v>
      </c>
      <c r="E16">
        <v>4</v>
      </c>
      <c r="F16">
        <v>3</v>
      </c>
      <c r="G16">
        <v>6</v>
      </c>
      <c r="H16">
        <v>0</v>
      </c>
      <c r="I16">
        <f>SUM((B16)+(C16)+(D16)+(E16)+(F16)-(G16-20)-(H16-20))/220*100</f>
        <v>29.65454545454546</v>
      </c>
      <c r="J16">
        <f>_xlfn.RANK.EQ(I16,$I$2:$I$21,0)</f>
        <v>15</v>
      </c>
    </row>
    <row r="17" spans="1:10">
      <c r="A17" t="s">
        <v>25</v>
      </c>
      <c r="B17">
        <v>5</v>
      </c>
      <c r="C17">
        <v>11</v>
      </c>
      <c r="D17">
        <v>7.17</v>
      </c>
      <c r="E17">
        <v>3</v>
      </c>
      <c r="F17">
        <v>1</v>
      </c>
      <c r="G17">
        <v>2</v>
      </c>
      <c r="H17">
        <v>1</v>
      </c>
      <c r="I17">
        <f>SUM((B17)+(C17)+(D17)+(E17)+(F17)-(G17-20)-(H17-20))/220*100</f>
        <v>29.168181818181822</v>
      </c>
      <c r="J17">
        <f>_xlfn.RANK.EQ(I17,$I$2:$I$21,0)</f>
        <v>16</v>
      </c>
    </row>
    <row r="18" spans="1:10">
      <c r="A18" t="s">
        <v>36</v>
      </c>
      <c r="B18">
        <v>6</v>
      </c>
      <c r="C18">
        <v>8</v>
      </c>
      <c r="D18">
        <v>7.47</v>
      </c>
      <c r="E18">
        <v>0</v>
      </c>
      <c r="F18">
        <v>2</v>
      </c>
      <c r="G18">
        <v>0</v>
      </c>
      <c r="H18">
        <v>0</v>
      </c>
      <c r="I18">
        <f>SUM((B18)+(C18)+(D18)+(E18)+(F18)-(G18-20)-(H18-20))/220*100</f>
        <v>28.849999999999998</v>
      </c>
      <c r="J18">
        <f>_xlfn.RANK.EQ(I18,$I$2:$I$21,0)</f>
        <v>17</v>
      </c>
    </row>
    <row r="19" spans="1:10">
      <c r="A19" t="s">
        <v>30</v>
      </c>
      <c r="B19">
        <v>16</v>
      </c>
      <c r="C19">
        <v>8</v>
      </c>
      <c r="D19">
        <v>7.28</v>
      </c>
      <c r="E19">
        <v>0</v>
      </c>
      <c r="F19">
        <v>1</v>
      </c>
      <c r="G19">
        <v>10</v>
      </c>
      <c r="H19">
        <v>0</v>
      </c>
      <c r="I19">
        <f>SUM((B19)+(C19)+(D19)+(E19)+(F19)-(G19-20)-(H19-20))/220*100</f>
        <v>28.309090909090912</v>
      </c>
      <c r="J19">
        <f>_xlfn.RANK.EQ(I19,$I$2:$I$21,0)</f>
        <v>18</v>
      </c>
    </row>
    <row r="20" spans="1:10">
      <c r="A20" t="s">
        <v>26</v>
      </c>
      <c r="B20">
        <v>7</v>
      </c>
      <c r="C20">
        <v>2</v>
      </c>
      <c r="D20">
        <v>7.1</v>
      </c>
      <c r="E20">
        <v>4</v>
      </c>
      <c r="F20">
        <v>1</v>
      </c>
      <c r="G20">
        <v>0</v>
      </c>
      <c r="H20">
        <v>0</v>
      </c>
      <c r="I20">
        <f>SUM((B20)+(C20)+(D20)+(E20)+(F20)-(G20-20)-(H20-20))/220*100</f>
        <v>27.77272727272727</v>
      </c>
      <c r="J20">
        <f>_xlfn.RANK.EQ(I20,$I$2:$I$21,0)</f>
        <v>19</v>
      </c>
    </row>
    <row r="21" spans="1:10">
      <c r="A21" t="s">
        <v>38</v>
      </c>
      <c r="B21">
        <v>4</v>
      </c>
      <c r="C21">
        <v>4</v>
      </c>
      <c r="D21">
        <v>7.26</v>
      </c>
      <c r="E21">
        <v>0</v>
      </c>
      <c r="F21">
        <v>1</v>
      </c>
      <c r="G21">
        <v>2</v>
      </c>
      <c r="H21">
        <v>0</v>
      </c>
      <c r="I21">
        <f>SUM((B21)+(C21)+(D21)+(E21)+(F21)-(G21-20)-(H21-20))/220*100</f>
        <v>24.663636363636364</v>
      </c>
      <c r="J21">
        <f>_xlfn.RANK.EQ(I21,$I$2:$I$21,0)</f>
        <v>20</v>
      </c>
    </row>
  </sheetData>
  <sortState xmlns:xlrd2="http://schemas.microsoft.com/office/spreadsheetml/2017/richdata2" ref="A2:J21">
    <sortCondition ref="J2:J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2026-07-10T06:40:22Z</dcterms:created>
  <dcterms:modified xsi:type="dcterms:W3CDTF">2026-07-24T04:54:01Z</dcterms:modified>
  <cp:category/>
  <cp:contentStatus/>
</cp:coreProperties>
</file>